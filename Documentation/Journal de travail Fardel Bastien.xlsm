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 hidePivotFieldList="1"/>
  <xr:revisionPtr revIDLastSave="8" documentId="11_06167E1AAC76D38E1F3C862C0B79C3690B8A1DBA" xr6:coauthVersionLast="43" xr6:coauthVersionMax="43" xr10:uidLastSave="{EAC3BB2B-9086-400B-B439-B0074CB0FBC9}"/>
  <bookViews>
    <workbookView xWindow="4560" yWindow="258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</calcChain>
</file>

<file path=xl/sharedStrings.xml><?xml version="1.0" encoding="utf-8"?>
<sst xmlns="http://schemas.openxmlformats.org/spreadsheetml/2006/main" count="100" uniqueCount="52">
  <si>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</si>
  <si>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</si>
  <si>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</si>
  <si>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</si>
  <si>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</si>
  <si>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</si>
  <si>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</si>
  <si>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</si>
  <si>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</si>
  <si>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</si>
  <si>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</si>
  <si>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</si>
  <si>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</si>
  <si>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</si>
  <si>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journal de bord</t>
  </si>
  <si>
    <t>-</t>
  </si>
  <si>
    <t>Affichage de la grille</t>
  </si>
  <si>
    <t>Débuggage de la grille</t>
  </si>
  <si>
    <t>Débuggage de la grille #2</t>
  </si>
  <si>
    <t>Système de tir</t>
  </si>
  <si>
    <t>Système de victoire</t>
  </si>
  <si>
    <t>Café collègues</t>
  </si>
  <si>
    <t>Mise à jour du repository de github et gestion des sprints</t>
  </si>
  <si>
    <t>Remplissage et mise à jour de la documentation</t>
  </si>
  <si>
    <t>Mise à jour des sprints et issues sur GitHub</t>
  </si>
  <si>
    <t>Vérification avec M. Benzonana concernant le jeu</t>
  </si>
  <si>
    <t>M. Benzonana a demandé de pouvoir choisir la colonne avant la ligne et de pouvoir la choisir avec les lettres.</t>
  </si>
  <si>
    <t>Prise de screenshots pour la maquette + création de la maquette</t>
  </si>
  <si>
    <t>Lors de l'utilisation du jeu pour prendre les screenshots, un bug est survenu lors de l'écran de victoire.</t>
  </si>
  <si>
    <t>Réparation du bug d'affichage de la victoire</t>
  </si>
  <si>
    <t>Insértion de l'option Info dans le menu + ajout d'anti-crash</t>
  </si>
  <si>
    <t>Remplissage de la documentation</t>
  </si>
  <si>
    <t>Insértion de l'affichage du score dans l'écran de victoire</t>
  </si>
  <si>
    <t>L'affichage de celui-ci fait crash le jeu.</t>
  </si>
  <si>
    <t>L'affichage ne pose plus de problème.</t>
  </si>
  <si>
    <t>Toujours en développement.</t>
  </si>
  <si>
    <t>La grille s'affiche parfaitement et le code est plus petit.</t>
  </si>
  <si>
    <t>La grille ne s'affiche toujours pas correctement.</t>
  </si>
  <si>
    <t>Multiple bugs, la grille ne s'affiche pas correctement.</t>
  </si>
  <si>
    <t>Pause de 9:35 durant 15 minutes</t>
  </si>
  <si>
    <t>Insértion des derniers anti-crash</t>
  </si>
  <si>
    <t>Création de la maquette</t>
  </si>
  <si>
    <t>Vérification de la maquette avec M. Benzonana</t>
  </si>
  <si>
    <t>Affichage du score</t>
  </si>
  <si>
    <t>Lors de l'affichage du nom, le jeu crash.</t>
  </si>
  <si>
    <t>Théorie avec le professeur XAVIER Carrel</t>
  </si>
  <si>
    <t>Ajout du menu About Us</t>
  </si>
  <si>
    <t>Réparation du bug d'affichage du score</t>
  </si>
  <si>
    <t>Le score fonctionne maintenant parfaitement</t>
  </si>
  <si>
    <t>Lecture de la théorie concernant l'écriture et la lecture de fichiers externes</t>
  </si>
  <si>
    <t>Lecture de cartes externes et enregistrement des scores</t>
  </si>
  <si>
    <t>Lors de l'enregistrement des scores, l'enregistrement précédant est effacé.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</si>
</sst>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551.497186111112" createdVersion="4" refreshedVersion="6" minRefreshableVersion="3" recordCount="11" xr:uid="{00000000-000A-0000-FFFF-FFFF00000000}">
  <cacheSource type="worksheet">
    <worksheetSource ref="A1:D28" sheet="Journal"/>
  </cacheSource>
  <cacheFields count="4">
    <cacheField name="Jour" numFmtId="16">
      <sharedItems containsSemiMixedTypes="0" containsNonDate="0" containsDate="1" containsString="0" minDate="2018-01-01T00:00:00" maxDate="2019-03-27T11:47:31" count="12">
        <d v="2019-03-27T11:47:31"/>
        <d v="2019-03-27T11:46:06"/>
        <d v="2019-03-22T12:15:30"/>
        <d v="2019-03-22T11:24:37"/>
        <d v="2019-03-22T10:55:08"/>
        <d v="2019-03-22T10:54:11"/>
        <d v="2019-03-22T08:43:09"/>
        <d v="2019-03-22T08:39:24"/>
        <d v="2019-03-21T00:00:00"/>
        <d v="2019-03-20T11:22:26"/>
        <d v="2019-03-20T00:00:00"/>
        <d v="2018-01-01T00:00:00" u="1"/>
      </sharedItems>
    </cacheField>
    <cacheField name="Semaine" numFmtId="1">
      <sharedItems/>
    </cacheField>
    <cacheField name="Temps [h]" numFmtId="0">
      <sharedItems containsSemiMixedTypes="0" containsString="0" containsNumber="1" minValue="0.16700000000000001" maxValue="1.5"/>
    </cacheField>
    <cacheField name="Type" numFmtId="0">
      <sharedItems containsBlank="1" count="6">
        <s v="Analyse"/>
        <s v="Documentation"/>
        <s v="Implémentation"/>
        <s v="Absence"/>
        <m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s v="1913"/>
    <n v="0.16700000000000001"/>
    <x v="0"/>
  </r>
  <r>
    <x v="1"/>
    <s v="1913"/>
    <n v="0.18"/>
    <x v="1"/>
  </r>
  <r>
    <x v="2"/>
    <s v="1912"/>
    <n v="0.9"/>
    <x v="1"/>
  </r>
  <r>
    <x v="3"/>
    <s v="1912"/>
    <n v="0.79"/>
    <x v="1"/>
  </r>
  <r>
    <x v="4"/>
    <s v="1912"/>
    <n v="1"/>
    <x v="2"/>
  </r>
  <r>
    <x v="5"/>
    <s v="1912"/>
    <n v="0.28000000000000003"/>
    <x v="3"/>
  </r>
  <r>
    <x v="6"/>
    <s v="1912"/>
    <n v="1"/>
    <x v="2"/>
  </r>
  <r>
    <x v="7"/>
    <s v="1912"/>
    <n v="0.57999999999999996"/>
    <x v="2"/>
  </r>
  <r>
    <x v="8"/>
    <s v="1912"/>
    <n v="0.57999999999999996"/>
    <x v="2"/>
  </r>
  <r>
    <x v="9"/>
    <s v="1912"/>
    <n v="1.5"/>
    <x v="2"/>
  </r>
  <r>
    <x v="10"/>
    <s v="1912"/>
    <n v="0.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16" firstHeaderRow="1" firstDataRow="2" firstDataCol="1"/>
  <pivotFields count="4">
    <pivotField axis="axisRow" numFmtId="16" showAll="0">
      <items count="13">
        <item n="20.03.2019" m="1" x="11"/>
        <item x="7"/>
        <item x="8"/>
        <item x="9"/>
        <item x="10"/>
        <item x="4"/>
        <item x="5"/>
        <item x="6"/>
        <item x="0"/>
        <item x="1"/>
        <item x="2"/>
        <item x="3"/>
        <item t="default"/>
      </items>
    </pivotField>
    <pivotField showAll="0"/>
    <pivotField dataField="1" showAll="0"/>
    <pivotField axis="axisCol" showAll="0">
      <items count="7">
        <item x="1"/>
        <item x="2"/>
        <item x="0"/>
        <item m="1" x="5"/>
        <item m="1" x="4"/>
        <item x="3"/>
        <item t="default"/>
      </items>
    </pivotField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3"/>
  </colFields>
  <colItems count="5">
    <i>
      <x/>
    </i>
    <i>
      <x v="1"/>
    </i>
    <i>
      <x v="2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9"/>
  <sheetViews>
    <sheetView tabSelected="1" zoomScale="85" zoomScaleNormal="85" workbookViewId="0">
      <selection activeCell="G2" sqref="G2"/>
    </sheetView>
  </sheetViews>
  <sheetFormatPr baseColWidth="10" defaultColWidth="9.140625" defaultRowHeight="15" x14ac:dyDescent="0.25"/>
  <cols>
    <col min="1" max="1" width="7.85546875" style="7" bestFit="1" customWidth="1"/>
    <col min="2" max="2" width="9.28515625" style="19" bestFit="1" customWidth="1"/>
    <col min="3" max="3" width="11.140625" style="15" bestFit="1" customWidth="1"/>
    <col min="4" max="4" width="15.42578125" style="7" bestFit="1" customWidth="1"/>
    <col min="5" max="5" width="57" style="16" bestFit="1" customWidth="1"/>
    <col min="6" max="6" width="57.42578125" style="16" bestFit="1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ht="30" x14ac:dyDescent="0.25">
      <c r="A2" s="6">
        <v>43562.847680555555</v>
      </c>
      <c r="B2" s="18" t="str">
        <f t="shared" ref="B2" si="0">IF(ISBLANK(A2),"",MOD(YEAR(A2),100) &amp; TEXT(WEEKNUM(A2),"00"))</f>
        <v>1915</v>
      </c>
      <c r="C2" s="11">
        <v>2</v>
      </c>
      <c r="D2" s="12" t="s">
        <v>7</v>
      </c>
      <c r="E2" s="13" t="s">
        <v>50</v>
      </c>
      <c r="F2" s="22" t="s">
        <v>51</v>
      </c>
      <c r="I2" s="14"/>
    </row>
    <row r="3" spans="1:9" ht="30" x14ac:dyDescent="0.25">
      <c r="A3" s="6">
        <v>43559.49347858796</v>
      </c>
      <c r="B3" s="18" t="str">
        <f t="shared" ref="B3" si="1">IF(ISBLANK(A3),"",MOD(YEAR(A3),100) &amp; TEXT(WEEKNUM(A3),"00"))</f>
        <v>1914</v>
      </c>
      <c r="C3" s="11">
        <v>0.43</v>
      </c>
      <c r="D3" s="12" t="s">
        <v>6</v>
      </c>
      <c r="E3" s="13" t="s">
        <v>49</v>
      </c>
      <c r="F3" s="22" t="s">
        <v>15</v>
      </c>
      <c r="I3" s="14"/>
    </row>
    <row r="4" spans="1:9" x14ac:dyDescent="0.25">
      <c r="A4" s="6">
        <v>43559.491862847222</v>
      </c>
      <c r="B4" s="18" t="str">
        <f t="shared" ref="B4" si="2">IF(ISBLANK(A4),"",MOD(YEAR(A4),100) &amp; TEXT(WEEKNUM(A4),"00"))</f>
        <v>1914</v>
      </c>
      <c r="C4" s="11">
        <v>0.97</v>
      </c>
      <c r="D4" s="12" t="s">
        <v>7</v>
      </c>
      <c r="E4" s="13" t="s">
        <v>47</v>
      </c>
      <c r="F4" s="22" t="s">
        <v>48</v>
      </c>
      <c r="I4" s="14"/>
    </row>
    <row r="5" spans="1:9" x14ac:dyDescent="0.25">
      <c r="A5" s="6">
        <v>43558.510853935186</v>
      </c>
      <c r="B5" s="18" t="str">
        <f t="shared" ref="B5" si="3">IF(ISBLANK(A5),"",MOD(YEAR(A5),100) &amp; TEXT(WEEKNUM(A5),"00"))</f>
        <v>1914</v>
      </c>
      <c r="C5" s="11">
        <v>0.55000000000000004</v>
      </c>
      <c r="D5" s="12" t="s">
        <v>7</v>
      </c>
      <c r="E5" s="13" t="s">
        <v>46</v>
      </c>
      <c r="F5" s="22" t="s">
        <v>15</v>
      </c>
      <c r="I5" s="14"/>
    </row>
    <row r="6" spans="1:9" x14ac:dyDescent="0.25">
      <c r="A6" s="6">
        <v>43558.487847453704</v>
      </c>
      <c r="B6" s="18" t="str">
        <f t="shared" ref="B6" si="4">IF(ISBLANK(A6),"",MOD(YEAR(A6),100) &amp; TEXT(WEEKNUM(A6),"00"))</f>
        <v>1914</v>
      </c>
      <c r="C6" s="11">
        <v>1.05</v>
      </c>
      <c r="D6" s="12" t="s">
        <v>6</v>
      </c>
      <c r="E6" s="13" t="s">
        <v>45</v>
      </c>
      <c r="F6" s="22" t="s">
        <v>15</v>
      </c>
      <c r="I6" s="14"/>
    </row>
    <row r="7" spans="1:9" x14ac:dyDescent="0.25">
      <c r="A7" s="6">
        <v>43553.486009490742</v>
      </c>
      <c r="B7" s="18" t="str">
        <f t="shared" ref="B7" si="5">IF(ISBLANK(A7),"",MOD(YEAR(A7),100) &amp; TEXT(WEEKNUM(A7),"00"))</f>
        <v>1913</v>
      </c>
      <c r="C7" s="11">
        <v>0.57999999999999996</v>
      </c>
      <c r="D7" s="12" t="s">
        <v>7</v>
      </c>
      <c r="E7" s="13" t="s">
        <v>43</v>
      </c>
      <c r="F7" s="22" t="s">
        <v>44</v>
      </c>
      <c r="I7" s="14"/>
    </row>
    <row r="8" spans="1:9" x14ac:dyDescent="0.25">
      <c r="A8" s="6">
        <v>43553.478642824077</v>
      </c>
      <c r="B8" s="18" t="str">
        <f t="shared" ref="B8" si="6">IF(ISBLANK(A8),"",MOD(YEAR(A8),100) &amp; TEXT(WEEKNUM(A8),"00"))</f>
        <v>1913</v>
      </c>
      <c r="C8" s="11">
        <v>0.17</v>
      </c>
      <c r="D8" s="12" t="s">
        <v>6</v>
      </c>
      <c r="E8" s="13" t="s">
        <v>42</v>
      </c>
      <c r="F8" s="22" t="s">
        <v>15</v>
      </c>
      <c r="I8" s="14"/>
    </row>
    <row r="9" spans="1:9" x14ac:dyDescent="0.25">
      <c r="A9" s="6">
        <v>43553.459752893519</v>
      </c>
      <c r="B9" s="18" t="str">
        <f t="shared" ref="B9" si="7">IF(ISBLANK(A9),"",MOD(YEAR(A9),100) &amp; TEXT(WEEKNUM(A9),"00"))</f>
        <v>1913</v>
      </c>
      <c r="C9" s="11">
        <v>0.47</v>
      </c>
      <c r="D9" s="12" t="s">
        <v>9</v>
      </c>
      <c r="E9" s="13" t="s">
        <v>41</v>
      </c>
      <c r="F9" s="22" t="s">
        <v>15</v>
      </c>
      <c r="I9" s="14"/>
    </row>
    <row r="10" spans="1:9" x14ac:dyDescent="0.25">
      <c r="A10" s="6">
        <v>43553.438861921299</v>
      </c>
      <c r="B10" s="18" t="str">
        <f t="shared" ref="B10" si="8">IF(ISBLANK(A10),"",MOD(YEAR(A10),100) &amp; TEXT(WEEKNUM(A10),"00"))</f>
        <v>1913</v>
      </c>
      <c r="C10" s="11">
        <v>0.47</v>
      </c>
      <c r="D10" s="12" t="s">
        <v>7</v>
      </c>
      <c r="E10" s="13" t="s">
        <v>40</v>
      </c>
      <c r="F10" s="22" t="s">
        <v>15</v>
      </c>
      <c r="I10" s="14"/>
    </row>
    <row r="11" spans="1:9" x14ac:dyDescent="0.25">
      <c r="A11" s="6">
        <v>43553.42883553241</v>
      </c>
      <c r="B11" s="18" t="str">
        <f t="shared" ref="B11" si="9">IF(ISBLANK(A11),"",MOD(YEAR(A11),100) &amp; TEXT(WEEKNUM(A11),"00"))</f>
        <v>1913</v>
      </c>
      <c r="C11" s="11">
        <v>0.28000000000000003</v>
      </c>
      <c r="D11" s="12" t="s">
        <v>9</v>
      </c>
      <c r="E11" s="13" t="s">
        <v>31</v>
      </c>
      <c r="F11" s="22" t="s">
        <v>15</v>
      </c>
      <c r="I11" s="14"/>
    </row>
    <row r="12" spans="1:9" x14ac:dyDescent="0.25">
      <c r="A12" s="6">
        <v>43553.398648495371</v>
      </c>
      <c r="B12" s="18" t="str">
        <f t="shared" ref="B12" si="10">IF(ISBLANK(A12),"",MOD(YEAR(A12),100) &amp; TEXT(WEEKNUM(A12),"00"))</f>
        <v>1913</v>
      </c>
      <c r="C12" s="11">
        <v>0.25</v>
      </c>
      <c r="D12" s="12" t="s">
        <v>10</v>
      </c>
      <c r="E12" s="13" t="s">
        <v>39</v>
      </c>
      <c r="F12" s="22" t="s">
        <v>15</v>
      </c>
      <c r="I12" s="14"/>
    </row>
    <row r="13" spans="1:9" x14ac:dyDescent="0.25">
      <c r="A13" s="6">
        <v>43553.391260532408</v>
      </c>
      <c r="B13" s="18" t="str">
        <f t="shared" ref="B13" si="11">IF(ISBLANK(A13),"",MOD(YEAR(A13),100) &amp; TEXT(WEEKNUM(A13),"00"))</f>
        <v>1913</v>
      </c>
      <c r="C13" s="11">
        <v>0.2</v>
      </c>
      <c r="D13" s="12" t="s">
        <v>7</v>
      </c>
      <c r="E13" s="13" t="s">
        <v>32</v>
      </c>
      <c r="F13" s="22" t="s">
        <v>33</v>
      </c>
      <c r="I13" s="14"/>
    </row>
    <row r="14" spans="1:9" x14ac:dyDescent="0.25">
      <c r="A14" s="6">
        <v>43553.360060648149</v>
      </c>
      <c r="B14" s="18" t="str">
        <f t="shared" ref="B14" si="12">IF(ISBLANK(A14),"",MOD(YEAR(A14),100) &amp; TEXT(WEEKNUM(A14),"00"))</f>
        <v>1913</v>
      </c>
      <c r="C14" s="11">
        <v>0.72</v>
      </c>
      <c r="D14" s="12" t="s">
        <v>9</v>
      </c>
      <c r="E14" s="13" t="s">
        <v>31</v>
      </c>
      <c r="F14" s="22" t="s">
        <v>15</v>
      </c>
      <c r="I14" s="14"/>
    </row>
    <row r="15" spans="1:9" x14ac:dyDescent="0.25">
      <c r="A15" s="6">
        <v>43552.684824074073</v>
      </c>
      <c r="B15" s="18" t="str">
        <f t="shared" ref="B15" si="13">IF(ISBLANK(A15),"",MOD(YEAR(A15),100) &amp; TEXT(WEEKNUM(A15),"00"))</f>
        <v>1913</v>
      </c>
      <c r="C15" s="11">
        <v>0.82</v>
      </c>
      <c r="D15" s="12" t="s">
        <v>7</v>
      </c>
      <c r="E15" s="13" t="s">
        <v>30</v>
      </c>
      <c r="F15" s="22" t="s">
        <v>15</v>
      </c>
      <c r="I15" s="14"/>
    </row>
    <row r="16" spans="1:9" x14ac:dyDescent="0.25">
      <c r="A16" s="6">
        <v>43552.683186458336</v>
      </c>
      <c r="B16" s="18" t="str">
        <f t="shared" ref="B16" si="14">IF(ISBLANK(A16),"",MOD(YEAR(A16),100) &amp; TEXT(WEEKNUM(A16),"00"))</f>
        <v>1913</v>
      </c>
      <c r="C16" s="11">
        <v>0.75</v>
      </c>
      <c r="D16" s="12" t="s">
        <v>7</v>
      </c>
      <c r="E16" s="13" t="s">
        <v>29</v>
      </c>
      <c r="F16" s="22" t="s">
        <v>34</v>
      </c>
      <c r="I16" s="14"/>
    </row>
    <row r="17" spans="1:9" ht="30" x14ac:dyDescent="0.25">
      <c r="A17" s="6">
        <v>43551.498565277776</v>
      </c>
      <c r="B17" s="18" t="str">
        <f t="shared" ref="B17" si="15">IF(ISBLANK(A17),"",MOD(YEAR(A17),100) &amp; TEXT(WEEKNUM(A17),"00"))</f>
        <v>1913</v>
      </c>
      <c r="C17" s="11">
        <v>0.33</v>
      </c>
      <c r="D17" s="12" t="s">
        <v>9</v>
      </c>
      <c r="E17" s="13" t="s">
        <v>27</v>
      </c>
      <c r="F17" s="22" t="s">
        <v>28</v>
      </c>
      <c r="I17" s="14"/>
    </row>
    <row r="18" spans="1:9" ht="30" x14ac:dyDescent="0.25">
      <c r="A18" s="6">
        <v>43551.491333101854</v>
      </c>
      <c r="B18" s="18" t="str">
        <f t="shared" ref="B18" si="16">IF(ISBLANK(A18),"",MOD(YEAR(A18),100) &amp; TEXT(WEEKNUM(A18),"00"))</f>
        <v>1913</v>
      </c>
      <c r="C18" s="11">
        <v>0.17</v>
      </c>
      <c r="D18" s="12" t="s">
        <v>6</v>
      </c>
      <c r="E18" s="21" t="s">
        <v>25</v>
      </c>
      <c r="F18" s="22" t="s">
        <v>26</v>
      </c>
      <c r="I18" s="14"/>
    </row>
    <row r="19" spans="1:9" x14ac:dyDescent="0.25">
      <c r="A19" s="6">
        <v>43551.490342824072</v>
      </c>
      <c r="B19" s="18" t="str">
        <f t="shared" ref="B19" si="17">IF(ISBLANK(A19),"",MOD(YEAR(A19),100) &amp; TEXT(WEEKNUM(A19),"00"))</f>
        <v>1913</v>
      </c>
      <c r="C19" s="11">
        <v>0.18</v>
      </c>
      <c r="D19" s="12" t="s">
        <v>9</v>
      </c>
      <c r="E19" s="21" t="s">
        <v>24</v>
      </c>
      <c r="F19" s="12" t="s">
        <v>15</v>
      </c>
      <c r="I19" s="14"/>
    </row>
    <row r="20" spans="1:9" x14ac:dyDescent="0.25">
      <c r="A20" s="6">
        <v>43546.510763888888</v>
      </c>
      <c r="B20" s="18" t="str">
        <f t="shared" ref="B20" si="18">IF(ISBLANK(A20),"",MOD(YEAR(A20),100) &amp; TEXT(WEEKNUM(A20),"00"))</f>
        <v>1912</v>
      </c>
      <c r="C20" s="11">
        <v>0.9</v>
      </c>
      <c r="D20" s="12" t="s">
        <v>9</v>
      </c>
      <c r="E20" s="21" t="s">
        <v>23</v>
      </c>
      <c r="F20" s="12" t="s">
        <v>15</v>
      </c>
      <c r="I20" s="14"/>
    </row>
    <row r="21" spans="1:9" x14ac:dyDescent="0.25">
      <c r="A21" s="6">
        <v>43546.475433333333</v>
      </c>
      <c r="B21" s="18" t="str">
        <f t="shared" ref="B21" si="19">IF(ISBLANK(A21),"",MOD(YEAR(A21),100) &amp; TEXT(WEEKNUM(A21),"00"))</f>
        <v>1912</v>
      </c>
      <c r="C21" s="11">
        <v>0.79</v>
      </c>
      <c r="D21" s="12" t="s">
        <v>9</v>
      </c>
      <c r="E21" s="21" t="s">
        <v>22</v>
      </c>
      <c r="F21" s="12" t="s">
        <v>15</v>
      </c>
      <c r="I21" s="14"/>
    </row>
    <row r="22" spans="1:9" x14ac:dyDescent="0.25">
      <c r="A22" s="6">
        <v>43546.45495324074</v>
      </c>
      <c r="B22" s="18" t="str">
        <f t="shared" ref="B22:B28" si="20">IF(ISBLANK(A22),"",MOD(YEAR(A22),100) &amp; TEXT(WEEKNUM(A22),"00"))</f>
        <v>1912</v>
      </c>
      <c r="C22" s="11">
        <v>1</v>
      </c>
      <c r="D22" s="12" t="s">
        <v>7</v>
      </c>
      <c r="E22" s="21" t="s">
        <v>20</v>
      </c>
      <c r="F22" s="12" t="s">
        <v>35</v>
      </c>
      <c r="I22" s="14"/>
    </row>
    <row r="23" spans="1:9" x14ac:dyDescent="0.25">
      <c r="A23" s="6">
        <v>43546.454289004629</v>
      </c>
      <c r="B23" s="18" t="str">
        <f t="shared" si="20"/>
        <v>1912</v>
      </c>
      <c r="C23" s="23">
        <v>0.28000000000000003</v>
      </c>
      <c r="D23" s="12" t="s">
        <v>10</v>
      </c>
      <c r="E23" s="23" t="s">
        <v>21</v>
      </c>
      <c r="F23" s="23" t="s">
        <v>15</v>
      </c>
      <c r="I23" s="14"/>
    </row>
    <row r="24" spans="1:9" x14ac:dyDescent="0.25">
      <c r="A24" s="6">
        <v>43546.363303009261</v>
      </c>
      <c r="B24" s="18" t="str">
        <f t="shared" si="20"/>
        <v>1912</v>
      </c>
      <c r="C24" s="11">
        <v>1</v>
      </c>
      <c r="D24" s="12" t="s">
        <v>7</v>
      </c>
      <c r="E24" s="21" t="s">
        <v>19</v>
      </c>
      <c r="F24" s="12" t="s">
        <v>15</v>
      </c>
      <c r="I24" s="14"/>
    </row>
    <row r="25" spans="1:9" x14ac:dyDescent="0.25">
      <c r="A25" s="6">
        <v>43546.360696990741</v>
      </c>
      <c r="B25" s="18" t="str">
        <f t="shared" si="20"/>
        <v>1912</v>
      </c>
      <c r="C25" s="11">
        <v>0.57999999999999996</v>
      </c>
      <c r="D25" s="12" t="s">
        <v>7</v>
      </c>
      <c r="E25" s="21" t="s">
        <v>18</v>
      </c>
      <c r="F25" s="12" t="s">
        <v>36</v>
      </c>
      <c r="I25" s="14"/>
    </row>
    <row r="26" spans="1:9" x14ac:dyDescent="0.25">
      <c r="A26" s="6">
        <v>43545</v>
      </c>
      <c r="B26" s="18" t="str">
        <f t="shared" si="20"/>
        <v>1912</v>
      </c>
      <c r="C26" s="11">
        <v>0.57999999999999996</v>
      </c>
      <c r="D26" s="12" t="s">
        <v>7</v>
      </c>
      <c r="E26" s="21" t="s">
        <v>17</v>
      </c>
      <c r="F26" s="22" t="s">
        <v>37</v>
      </c>
      <c r="I26" s="14"/>
    </row>
    <row r="27" spans="1:9" x14ac:dyDescent="0.25">
      <c r="A27" s="6">
        <v>43544.473912037036</v>
      </c>
      <c r="B27" s="18" t="str">
        <f t="shared" si="20"/>
        <v>1912</v>
      </c>
      <c r="C27" s="11">
        <v>1.5</v>
      </c>
      <c r="D27" s="12" t="s">
        <v>7</v>
      </c>
      <c r="E27" s="13" t="s">
        <v>16</v>
      </c>
      <c r="F27" s="21" t="s">
        <v>38</v>
      </c>
      <c r="I27" s="14"/>
    </row>
    <row r="28" spans="1:9" x14ac:dyDescent="0.25">
      <c r="A28" s="6">
        <v>43544</v>
      </c>
      <c r="B28" s="18" t="str">
        <f t="shared" si="20"/>
        <v>1912</v>
      </c>
      <c r="C28" s="11">
        <v>0.17</v>
      </c>
      <c r="D28" s="12" t="s">
        <v>9</v>
      </c>
      <c r="E28" s="21" t="s">
        <v>14</v>
      </c>
      <c r="F28" s="22" t="s">
        <v>15</v>
      </c>
      <c r="I28" s="14"/>
    </row>
    <row r="29" spans="1:9" x14ac:dyDescent="0.25">
      <c r="A29" s="20"/>
      <c r="F29" s="10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F16"/>
  <sheetViews>
    <sheetView workbookViewId="0">
      <selection activeCell="F6" sqref="F6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43546.360694444447</v>
      </c>
      <c r="C5">
        <v>0.57999999999999996</v>
      </c>
      <c r="F5">
        <v>0.57999999999999996</v>
      </c>
    </row>
    <row r="6" spans="1:6" x14ac:dyDescent="0.25">
      <c r="A6" s="4">
        <v>43545</v>
      </c>
      <c r="C6">
        <v>0.57999999999999996</v>
      </c>
      <c r="F6">
        <v>0.57999999999999996</v>
      </c>
    </row>
    <row r="7" spans="1:6" x14ac:dyDescent="0.25">
      <c r="A7" s="4">
        <v>43544.473912037036</v>
      </c>
      <c r="C7">
        <v>1.5</v>
      </c>
      <c r="F7">
        <v>1.5</v>
      </c>
    </row>
    <row r="8" spans="1:6" x14ac:dyDescent="0.25">
      <c r="A8" s="4">
        <v>43544</v>
      </c>
      <c r="B8">
        <v>0.17</v>
      </c>
      <c r="F8">
        <v>0.17</v>
      </c>
    </row>
    <row r="9" spans="1:6" x14ac:dyDescent="0.25">
      <c r="A9" s="4">
        <v>43546.454953703702</v>
      </c>
      <c r="C9">
        <v>1</v>
      </c>
      <c r="F9">
        <v>1</v>
      </c>
    </row>
    <row r="10" spans="1:6" x14ac:dyDescent="0.25">
      <c r="A10" s="4">
        <v>43546.454293981478</v>
      </c>
      <c r="E10">
        <v>0.28000000000000003</v>
      </c>
      <c r="F10">
        <v>0.28000000000000003</v>
      </c>
    </row>
    <row r="11" spans="1:6" x14ac:dyDescent="0.25">
      <c r="A11" s="4">
        <v>43546.363298611112</v>
      </c>
      <c r="C11">
        <v>1</v>
      </c>
      <c r="F11">
        <v>1</v>
      </c>
    </row>
    <row r="12" spans="1:6" x14ac:dyDescent="0.25">
      <c r="A12" s="4">
        <v>43551.491331018522</v>
      </c>
      <c r="D12">
        <v>0.16700000000000001</v>
      </c>
      <c r="F12">
        <v>0.16700000000000001</v>
      </c>
    </row>
    <row r="13" spans="1:6" x14ac:dyDescent="0.25">
      <c r="A13" s="4">
        <v>43551.490347222221</v>
      </c>
      <c r="B13">
        <v>0.18</v>
      </c>
      <c r="F13">
        <v>0.18</v>
      </c>
    </row>
    <row r="14" spans="1:6" x14ac:dyDescent="0.25">
      <c r="A14" s="4">
        <v>43546.510763888888</v>
      </c>
      <c r="B14">
        <v>0.9</v>
      </c>
      <c r="F14">
        <v>0.9</v>
      </c>
    </row>
    <row r="15" spans="1:6" x14ac:dyDescent="0.25">
      <c r="A15" s="4">
        <v>43546.475428240738</v>
      </c>
      <c r="B15">
        <v>0.79</v>
      </c>
      <c r="F15">
        <v>0.79</v>
      </c>
    </row>
    <row r="16" spans="1:6" x14ac:dyDescent="0.25">
      <c r="A16" s="4" t="s">
        <v>11</v>
      </c>
      <c r="B16">
        <v>2.04</v>
      </c>
      <c r="C16">
        <v>4.66</v>
      </c>
      <c r="D16">
        <v>0.16700000000000001</v>
      </c>
      <c r="E16">
        <v>0.28000000000000003</v>
      </c>
      <c r="F16">
        <v>7.1470000000000002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2019-04-07T20:43:35Z</dcterms:modified>
</cp:coreProperties>
</file>